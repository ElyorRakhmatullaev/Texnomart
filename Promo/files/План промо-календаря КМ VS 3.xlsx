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C:\Users\vmikluxina\Desktop\Промо календарь\Т.З 3й вариант-март\"/>
    </mc:Choice>
  </mc:AlternateContent>
  <xr:revisionPtr revIDLastSave="0" documentId="13_ncr:1_{6A5EF96D-EA38-4E4D-B199-B3FA506BE5FE}" xr6:coauthVersionLast="46" xr6:coauthVersionMax="46" xr10:uidLastSave="{00000000-0000-0000-0000-000000000000}"/>
  <bookViews>
    <workbookView xWindow="-289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Лист1!$A$4:$R$30</definedName>
  </definedNames>
  <calcPr calcId="191029"/>
</workbook>
</file>

<file path=xl/calcChain.xml><?xml version="1.0" encoding="utf-8"?>
<calcChain xmlns="http://schemas.openxmlformats.org/spreadsheetml/2006/main">
  <c r="Q12" i="1" l="1"/>
  <c r="R24" i="1"/>
  <c r="Q24" i="1"/>
  <c r="P24" i="1"/>
  <c r="O24" i="1"/>
  <c r="R19" i="1"/>
  <c r="Q19" i="1"/>
  <c r="P19" i="1"/>
  <c r="O19" i="1"/>
  <c r="R12" i="1"/>
  <c r="P12" i="1"/>
  <c r="O12" i="1"/>
  <c r="R5" i="1"/>
  <c r="Q5" i="1"/>
  <c r="P5" i="1"/>
  <c r="O5" i="1"/>
</calcChain>
</file>

<file path=xl/sharedStrings.xml><?xml version="1.0" encoding="utf-8"?>
<sst xmlns="http://schemas.openxmlformats.org/spreadsheetml/2006/main" count="101" uniqueCount="46">
  <si>
    <t xml:space="preserve">Промо-календарь </t>
  </si>
  <si>
    <t>ДЕКАБРЬ 2025</t>
  </si>
  <si>
    <t>Общие статусы</t>
  </si>
  <si>
    <t>№ Промо</t>
  </si>
  <si>
    <t>Название акции</t>
  </si>
  <si>
    <t>Период акции</t>
  </si>
  <si>
    <t>День недели</t>
  </si>
  <si>
    <t>Распределение по дням (по категориям)</t>
  </si>
  <si>
    <t>ФИО КМ (при распределении по категориям)</t>
  </si>
  <si>
    <t>Последняя дата заполнения для КМ</t>
  </si>
  <si>
    <t>КМ Иванов</t>
  </si>
  <si>
    <t>КМ Петров</t>
  </si>
  <si>
    <t>КМ Сидоров</t>
  </si>
  <si>
    <t>КМ Ахмедов</t>
  </si>
  <si>
    <t>КМ Ким</t>
  </si>
  <si>
    <t>На согласовании у коммерческого директора</t>
  </si>
  <si>
    <t>Принято коммерческим директором</t>
  </si>
  <si>
    <t>Не заполнено/Ожидание корректировки от КМ</t>
  </si>
  <si>
    <t>Не участвует</t>
  </si>
  <si>
    <t>понедельник</t>
  </si>
  <si>
    <t>ТВ+уход за одеждой</t>
  </si>
  <si>
    <t>Согласовано и отправлено смежным отделам (02.12.25)</t>
  </si>
  <si>
    <t>вторник</t>
  </si>
  <si>
    <t>МБТ+уход за домом+посуда</t>
  </si>
  <si>
    <t>среда</t>
  </si>
  <si>
    <t xml:space="preserve">Ноутбуки+принтер+яндекс </t>
  </si>
  <si>
    <t>четверг</t>
  </si>
  <si>
    <t>Климат</t>
  </si>
  <si>
    <t>пятница</t>
  </si>
  <si>
    <t>суббота</t>
  </si>
  <si>
    <t>воскресенье</t>
  </si>
  <si>
    <t>Новый год</t>
  </si>
  <si>
    <t>Переотправлено на корректировку КМ</t>
  </si>
  <si>
    <t>Распрадажа</t>
  </si>
  <si>
    <t>ЯНВАРЬ 2026</t>
  </si>
  <si>
    <t>КМ ФИО (при распределении по категориям)</t>
  </si>
  <si>
    <t>Зимние цены</t>
  </si>
  <si>
    <t>Тип промо</t>
  </si>
  <si>
    <t>Сидки до 80%</t>
  </si>
  <si>
    <t xml:space="preserve">1+1 </t>
  </si>
  <si>
    <t>0-0-12</t>
  </si>
  <si>
    <t>0-0-12 (покатегориям)</t>
  </si>
  <si>
    <t>Скидки на 24 месяцев</t>
  </si>
  <si>
    <t>Статус согласования</t>
  </si>
  <si>
    <t xml:space="preserve">На согласовании у коммерческого директора  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</si>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</sst>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\.yyyy"/>
    <numFmt numFmtId="165" formatCode="dd\.mm\.yyyy"/>
  </numFmts>
  <fonts count="4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name val="Arial"/>
    </font>
    <font>
      <sz val="12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3" xfId="0" applyFont="1" applyBorder="1" applyAlignment="1">
      <alignment horizontal="center" wrapText="1"/>
    </xf>
    <xf numFmtId="0" fontId="3" fillId="0" borderId="0" xfId="0" applyFont="1"/>
    <xf numFmtId="0" fontId="1" fillId="0" borderId="18" xfId="0" applyFont="1" applyBorder="1" applyAlignment="1">
      <alignment horizontal="center" wrapText="1"/>
    </xf>
    <xf numFmtId="0" fontId="1" fillId="0" borderId="18" xfId="0" applyFont="1" applyBorder="1" applyAlignment="1">
      <alignment horizontal="center"/>
    </xf>
    <xf numFmtId="0" fontId="3" fillId="0" borderId="18" xfId="0" applyFont="1" applyBorder="1"/>
    <xf numFmtId="0" fontId="3" fillId="0" borderId="18" xfId="0" applyFont="1" applyBorder="1" applyAlignment="1">
      <alignment wrapText="1"/>
    </xf>
    <xf numFmtId="164" fontId="1" fillId="0" borderId="18" xfId="0" applyNumberFormat="1" applyFont="1" applyBorder="1"/>
    <xf numFmtId="165" fontId="3" fillId="0" borderId="18" xfId="0" applyNumberFormat="1" applyFont="1" applyBorder="1"/>
    <xf numFmtId="164" fontId="3" fillId="0" borderId="18" xfId="0" applyNumberFormat="1" applyFont="1" applyBorder="1"/>
    <xf numFmtId="0" fontId="1" fillId="0" borderId="19" xfId="0" applyFont="1" applyBorder="1" applyAlignment="1">
      <alignment horizontal="center"/>
    </xf>
    <xf numFmtId="0" fontId="1" fillId="0" borderId="18" xfId="0" applyFont="1" applyBorder="1"/>
    <xf numFmtId="0" fontId="1" fillId="0" borderId="18" xfId="0" applyFont="1" applyBorder="1" applyAlignment="1">
      <alignment wrapText="1"/>
    </xf>
    <xf numFmtId="0" fontId="3" fillId="3" borderId="18" xfId="0" applyFont="1" applyFill="1" applyBorder="1" applyAlignment="1">
      <alignment wrapText="1"/>
    </xf>
    <xf numFmtId="0" fontId="2" fillId="0" borderId="18" xfId="0" applyFont="1" applyBorder="1"/>
    <xf numFmtId="0" fontId="3" fillId="5" borderId="18" xfId="0" applyFont="1" applyFill="1" applyBorder="1"/>
    <xf numFmtId="0" fontId="3" fillId="0" borderId="18" xfId="0" applyFont="1" applyBorder="1"/>
    <xf numFmtId="0" fontId="3" fillId="0" borderId="18" xfId="0" applyFont="1" applyBorder="1" applyAlignment="1">
      <alignment wrapText="1"/>
    </xf>
    <xf numFmtId="0" fontId="3" fillId="6" borderId="18" xfId="0" applyFont="1" applyFill="1" applyBorder="1"/>
    <xf numFmtId="0" fontId="1" fillId="0" borderId="9" xfId="0" applyFont="1" applyBorder="1" applyAlignment="1">
      <alignment horizontal="center"/>
    </xf>
    <xf numFmtId="0" fontId="0" fillId="0" borderId="0" xfId="0"/>
    <xf numFmtId="0" fontId="2" fillId="0" borderId="7" xfId="0" applyFont="1" applyBorder="1"/>
    <xf numFmtId="165" fontId="3" fillId="0" borderId="18" xfId="0" applyNumberFormat="1" applyFont="1" applyBorder="1"/>
    <xf numFmtId="0" fontId="3" fillId="6" borderId="18" xfId="0" applyFont="1" applyFill="1" applyBorder="1" applyAlignment="1">
      <alignment wrapText="1"/>
    </xf>
    <xf numFmtId="0" fontId="2" fillId="0" borderId="18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1" fillId="2" borderId="10" xfId="0" applyFont="1" applyFill="1" applyBorder="1" applyAlignment="1">
      <alignment horizontal="center" wrapText="1"/>
    </xf>
    <xf numFmtId="0" fontId="2" fillId="0" borderId="11" xfId="0" applyFont="1" applyBorder="1"/>
    <xf numFmtId="0" fontId="2" fillId="0" borderId="12" xfId="0" applyFont="1" applyBorder="1"/>
    <xf numFmtId="0" fontId="3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3" fillId="0" borderId="4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7" xfId="0" applyFont="1" applyBorder="1" applyAlignment="1">
      <alignment wrapText="1"/>
    </xf>
    <xf numFmtId="0" fontId="3" fillId="0" borderId="18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3" fillId="4" borderId="18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R1007"/>
  <sheetViews>
    <sheetView tabSelected="1" topLeftCell="B1" zoomScale="85" zoomScaleNormal="85" workbookViewId="0">
      <pane ySplit="4" topLeftCell="A5" activePane="bottomLeft" state="frozen"/>
      <selection pane="bottomLeft" activeCell="Q12" sqref="Q12:Q18"/>
    </sheetView>
  </sheetViews>
  <sheetFormatPr defaultColWidth="12.6640625" defaultRowHeight="15.75" customHeight="1" x14ac:dyDescent="0.25"/>
  <cols>
    <col min="1" max="1" width="8" customWidth="1"/>
    <col min="2" max="2" width="20.33203125" customWidth="1"/>
    <col min="3" max="3" width="20.44140625" customWidth="1"/>
    <col min="4" max="4" width="12.88671875" customWidth="1"/>
    <col min="5" max="5" width="16.77734375" customWidth="1"/>
    <col min="6" max="6" width="15.44140625" customWidth="1"/>
    <col min="7" max="7" width="16" customWidth="1"/>
    <col min="8" max="8" width="16.77734375" customWidth="1"/>
    <col min="9" max="9" width="17.33203125" customWidth="1"/>
    <col min="10" max="14" width="19" customWidth="1"/>
    <col min="15" max="15" width="17.109375" customWidth="1"/>
    <col min="16" max="16" width="18.109375" customWidth="1"/>
    <col min="17" max="17" width="19.109375" customWidth="1"/>
    <col min="18" max="18" width="17.77734375" customWidth="1"/>
  </cols>
  <sheetData>
    <row r="1" spans="1:18" ht="15.6" x14ac:dyDescent="0.3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4"/>
    </row>
    <row r="2" spans="1:18" ht="16.2" thickBot="1" x14ac:dyDescent="0.35">
      <c r="A2" s="35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7"/>
    </row>
    <row r="3" spans="1:18" ht="16.8" thickTop="1" thickBot="1" x14ac:dyDescent="0.35">
      <c r="A3" s="1"/>
      <c r="B3" s="2"/>
      <c r="C3" s="2"/>
      <c r="D3" s="3"/>
      <c r="E3" s="3"/>
      <c r="F3" s="3"/>
      <c r="G3" s="4"/>
      <c r="H3" s="4" t="s">
        <v>45</v>
      </c>
      <c r="I3" s="5"/>
      <c r="J3" s="6"/>
      <c r="K3" s="2"/>
      <c r="L3" s="2"/>
      <c r="M3" s="2"/>
      <c r="N3" s="7"/>
      <c r="O3" s="38" t="s">
        <v>2</v>
      </c>
      <c r="P3" s="39"/>
      <c r="Q3" s="39"/>
      <c r="R3" s="40"/>
    </row>
    <row r="4" spans="1:18" ht="78.599999999999994" thickBot="1" x14ac:dyDescent="0.35">
      <c r="A4" s="10" t="s">
        <v>3</v>
      </c>
      <c r="B4" s="18" t="s">
        <v>37</v>
      </c>
      <c r="C4" s="19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43</v>
      </c>
      <c r="J4" s="11" t="s">
        <v>10</v>
      </c>
      <c r="K4" s="11" t="s">
        <v>11</v>
      </c>
      <c r="L4" s="11" t="s">
        <v>12</v>
      </c>
      <c r="M4" s="11" t="s">
        <v>13</v>
      </c>
      <c r="N4" s="11" t="s">
        <v>14</v>
      </c>
      <c r="O4" s="10" t="s">
        <v>44</v>
      </c>
      <c r="P4" s="10" t="s">
        <v>16</v>
      </c>
      <c r="Q4" s="10" t="s">
        <v>17</v>
      </c>
      <c r="R4" s="10" t="s">
        <v>18</v>
      </c>
    </row>
    <row r="5" spans="1:18" ht="31.2" customHeight="1" thickBot="1" x14ac:dyDescent="0.35">
      <c r="A5" s="23">
        <v>1</v>
      </c>
      <c r="B5" s="24" t="s">
        <v>40</v>
      </c>
      <c r="C5" s="24" t="s">
        <v>41</v>
      </c>
      <c r="D5" s="14">
        <v>46006</v>
      </c>
      <c r="E5" s="12" t="s">
        <v>19</v>
      </c>
      <c r="F5" s="13" t="s">
        <v>20</v>
      </c>
      <c r="G5" s="15"/>
      <c r="H5" s="29">
        <v>45992</v>
      </c>
      <c r="I5" s="20" t="s">
        <v>21</v>
      </c>
      <c r="J5" s="20" t="s">
        <v>16</v>
      </c>
      <c r="K5" s="22" t="s">
        <v>18</v>
      </c>
      <c r="L5" s="20" t="s">
        <v>16</v>
      </c>
      <c r="M5" s="22" t="s">
        <v>18</v>
      </c>
      <c r="N5" s="20" t="s">
        <v>16</v>
      </c>
      <c r="O5" s="25">
        <f>COUNTIF(J5:N5, "На согласовании у коммерческого директора")</f>
        <v>0</v>
      </c>
      <c r="P5" s="23">
        <f>COUNTIF(J5:N5, "Принято коммерческим директором")</f>
        <v>3</v>
      </c>
      <c r="Q5" s="23">
        <f>COUNTIF(J5:N5, "Не заполнено/Ожидание корректировки от КМ")</f>
        <v>0</v>
      </c>
      <c r="R5" s="23">
        <f>COUNTIF(J5:N5, "Не участвует")</f>
        <v>2</v>
      </c>
    </row>
    <row r="6" spans="1:18" ht="45.6" thickBot="1" x14ac:dyDescent="0.3">
      <c r="A6" s="21"/>
      <c r="B6" s="31"/>
      <c r="C6" s="31"/>
      <c r="D6" s="16">
        <v>46007</v>
      </c>
      <c r="E6" s="12" t="s">
        <v>22</v>
      </c>
      <c r="F6" s="13" t="s">
        <v>23</v>
      </c>
      <c r="G6" s="15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</row>
    <row r="7" spans="1:18" ht="30.6" thickBot="1" x14ac:dyDescent="0.3">
      <c r="A7" s="21"/>
      <c r="B7" s="31"/>
      <c r="C7" s="31"/>
      <c r="D7" s="16">
        <v>46008</v>
      </c>
      <c r="E7" s="12" t="s">
        <v>24</v>
      </c>
      <c r="F7" s="13" t="s">
        <v>25</v>
      </c>
      <c r="G7" s="15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</row>
    <row r="8" spans="1:18" ht="15.6" thickBot="1" x14ac:dyDescent="0.3">
      <c r="A8" s="21"/>
      <c r="B8" s="31"/>
      <c r="C8" s="31"/>
      <c r="D8" s="16">
        <v>46009</v>
      </c>
      <c r="E8" s="12" t="s">
        <v>26</v>
      </c>
      <c r="F8" s="12" t="s">
        <v>27</v>
      </c>
      <c r="G8" s="15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</row>
    <row r="9" spans="1:18" ht="15.6" thickBot="1" x14ac:dyDescent="0.3">
      <c r="A9" s="21"/>
      <c r="B9" s="31"/>
      <c r="C9" s="31"/>
      <c r="D9" s="16">
        <v>46010</v>
      </c>
      <c r="E9" s="12" t="s">
        <v>28</v>
      </c>
      <c r="F9" s="15"/>
      <c r="G9" s="15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</row>
    <row r="10" spans="1:18" ht="15.6" thickBot="1" x14ac:dyDescent="0.3">
      <c r="A10" s="21"/>
      <c r="B10" s="31"/>
      <c r="C10" s="31"/>
      <c r="D10" s="16">
        <v>46011</v>
      </c>
      <c r="E10" s="12" t="s">
        <v>29</v>
      </c>
      <c r="F10" s="15"/>
      <c r="G10" s="15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</row>
    <row r="11" spans="1:18" ht="16.2" thickBot="1" x14ac:dyDescent="0.35">
      <c r="A11" s="21"/>
      <c r="B11" s="31"/>
      <c r="C11" s="31"/>
      <c r="D11" s="14">
        <v>46012</v>
      </c>
      <c r="E11" s="12" t="s">
        <v>30</v>
      </c>
      <c r="F11" s="15"/>
      <c r="G11" s="15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</row>
    <row r="12" spans="1:18" ht="16.2" thickBot="1" x14ac:dyDescent="0.35">
      <c r="A12" s="23">
        <v>2</v>
      </c>
      <c r="B12" s="23" t="s">
        <v>39</v>
      </c>
      <c r="C12" s="47" t="s">
        <v>31</v>
      </c>
      <c r="D12" s="14">
        <v>46013</v>
      </c>
      <c r="E12" s="12" t="s">
        <v>19</v>
      </c>
      <c r="F12" s="15"/>
      <c r="G12" s="15"/>
      <c r="H12" s="29">
        <v>45999</v>
      </c>
      <c r="I12" s="49" t="s">
        <v>32</v>
      </c>
      <c r="J12" s="20" t="s">
        <v>16</v>
      </c>
      <c r="K12" s="49" t="s">
        <v>17</v>
      </c>
      <c r="L12" s="20" t="s">
        <v>16</v>
      </c>
      <c r="M12" s="22" t="s">
        <v>18</v>
      </c>
      <c r="N12" s="20" t="s">
        <v>16</v>
      </c>
      <c r="O12" s="25">
        <f>COUNTIF(J12:N12, "На согласовании у коммерческого директора")</f>
        <v>0</v>
      </c>
      <c r="P12" s="23">
        <f>COUNTIF(J12:N12, "Принято коммерческим директором")</f>
        <v>3</v>
      </c>
      <c r="Q12" s="23">
        <f>COUNTIF(J12:N12, "Не заполнено/Ожидание корректировки от КМ")</f>
        <v>1</v>
      </c>
      <c r="R12" s="23">
        <f>COUNTIF(J12:N12, "Не участвует")</f>
        <v>1</v>
      </c>
    </row>
    <row r="13" spans="1:18" ht="15.6" thickBot="1" x14ac:dyDescent="0.3">
      <c r="A13" s="21"/>
      <c r="B13" s="21"/>
      <c r="C13" s="47"/>
      <c r="D13" s="16">
        <v>46014</v>
      </c>
      <c r="E13" s="12" t="s">
        <v>22</v>
      </c>
      <c r="F13" s="15"/>
      <c r="G13" s="15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</row>
    <row r="14" spans="1:18" ht="15.6" thickBot="1" x14ac:dyDescent="0.3">
      <c r="A14" s="21"/>
      <c r="B14" s="21"/>
      <c r="C14" s="47"/>
      <c r="D14" s="16">
        <v>46015</v>
      </c>
      <c r="E14" s="12" t="s">
        <v>24</v>
      </c>
      <c r="F14" s="15"/>
      <c r="G14" s="15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</row>
    <row r="15" spans="1:18" ht="15.6" thickBot="1" x14ac:dyDescent="0.3">
      <c r="A15" s="21"/>
      <c r="B15" s="21"/>
      <c r="C15" s="47"/>
      <c r="D15" s="16">
        <v>46016</v>
      </c>
      <c r="E15" s="12" t="s">
        <v>26</v>
      </c>
      <c r="F15" s="15"/>
      <c r="G15" s="15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</row>
    <row r="16" spans="1:18" ht="15.6" thickBot="1" x14ac:dyDescent="0.3">
      <c r="A16" s="21"/>
      <c r="B16" s="21"/>
      <c r="C16" s="47"/>
      <c r="D16" s="16">
        <v>46017</v>
      </c>
      <c r="E16" s="12" t="s">
        <v>28</v>
      </c>
      <c r="F16" s="15"/>
      <c r="G16" s="15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</row>
    <row r="17" spans="1:18" ht="15.6" thickBot="1" x14ac:dyDescent="0.3">
      <c r="A17" s="21"/>
      <c r="B17" s="21"/>
      <c r="C17" s="47"/>
      <c r="D17" s="16">
        <v>46018</v>
      </c>
      <c r="E17" s="12" t="s">
        <v>29</v>
      </c>
      <c r="F17" s="15"/>
      <c r="G17" s="15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</row>
    <row r="18" spans="1:18" ht="16.2" thickBot="1" x14ac:dyDescent="0.35">
      <c r="A18" s="21"/>
      <c r="B18" s="21"/>
      <c r="C18" s="47"/>
      <c r="D18" s="14">
        <v>46019</v>
      </c>
      <c r="E18" s="12" t="s">
        <v>30</v>
      </c>
      <c r="F18" s="15"/>
      <c r="G18" s="15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</row>
    <row r="19" spans="1:18" ht="15.6" customHeight="1" thickBot="1" x14ac:dyDescent="0.3">
      <c r="A19" s="23">
        <v>3</v>
      </c>
      <c r="B19" s="23" t="s">
        <v>38</v>
      </c>
      <c r="C19" s="23" t="s">
        <v>33</v>
      </c>
      <c r="D19" s="16">
        <v>46020</v>
      </c>
      <c r="E19" s="12" t="s">
        <v>19</v>
      </c>
      <c r="F19" s="15"/>
      <c r="G19" s="15"/>
      <c r="H19" s="29">
        <v>46006</v>
      </c>
      <c r="I19" s="30" t="s">
        <v>15</v>
      </c>
      <c r="J19" s="30" t="s">
        <v>15</v>
      </c>
      <c r="K19" s="30" t="s">
        <v>15</v>
      </c>
      <c r="L19" s="20" t="s">
        <v>16</v>
      </c>
      <c r="M19" s="22" t="s">
        <v>18</v>
      </c>
      <c r="N19" s="20" t="s">
        <v>16</v>
      </c>
      <c r="O19" s="25">
        <f>COUNTIF(J19:N19, "На согласовании у коммерческого директора")</f>
        <v>2</v>
      </c>
      <c r="P19" s="23">
        <f>COUNTIF(J19:N19, "Принято коммерческим директором")</f>
        <v>2</v>
      </c>
      <c r="Q19" s="23">
        <f>COUNTIF(J19:N19, "Не заполнено/Ожидание корректировки от КМ")</f>
        <v>0</v>
      </c>
      <c r="R19" s="23">
        <f>COUNTIF(J19:N19, "Не участвует")</f>
        <v>1</v>
      </c>
    </row>
    <row r="20" spans="1:18" ht="15.6" thickBot="1" x14ac:dyDescent="0.3">
      <c r="A20" s="21"/>
      <c r="B20" s="21"/>
      <c r="C20" s="21"/>
      <c r="D20" s="16">
        <v>46021</v>
      </c>
      <c r="E20" s="12" t="s">
        <v>22</v>
      </c>
      <c r="F20" s="15"/>
      <c r="G20" s="15"/>
      <c r="H20" s="21"/>
      <c r="I20" s="31"/>
      <c r="J20" s="31"/>
      <c r="K20" s="31"/>
      <c r="L20" s="21"/>
      <c r="M20" s="21"/>
      <c r="N20" s="21"/>
      <c r="O20" s="21"/>
      <c r="P20" s="21"/>
      <c r="Q20" s="21"/>
      <c r="R20" s="21"/>
    </row>
    <row r="21" spans="1:18" ht="29.25" customHeight="1" thickBot="1" x14ac:dyDescent="0.3">
      <c r="A21" s="21"/>
      <c r="B21" s="21"/>
      <c r="C21" s="21"/>
      <c r="D21" s="16">
        <v>46022</v>
      </c>
      <c r="E21" s="12" t="s">
        <v>24</v>
      </c>
      <c r="F21" s="15"/>
      <c r="G21" s="15"/>
      <c r="H21" s="21"/>
      <c r="I21" s="31"/>
      <c r="J21" s="31"/>
      <c r="K21" s="31"/>
      <c r="L21" s="21"/>
      <c r="M21" s="21"/>
      <c r="N21" s="21"/>
      <c r="O21" s="21"/>
      <c r="P21" s="21"/>
      <c r="Q21" s="21"/>
      <c r="R21" s="21"/>
    </row>
    <row r="22" spans="1:18" ht="16.2" thickBot="1" x14ac:dyDescent="0.35">
      <c r="A22" s="26" t="s">
        <v>34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8"/>
    </row>
    <row r="23" spans="1:18" ht="79.2" thickTop="1" thickBot="1" x14ac:dyDescent="0.35">
      <c r="A23" s="8" t="s">
        <v>3</v>
      </c>
      <c r="B23" s="17" t="s">
        <v>37</v>
      </c>
      <c r="C23" s="10" t="s">
        <v>4</v>
      </c>
      <c r="D23" s="10" t="s">
        <v>5</v>
      </c>
      <c r="E23" s="10" t="s">
        <v>6</v>
      </c>
      <c r="F23" s="10" t="s">
        <v>7</v>
      </c>
      <c r="G23" s="10" t="s">
        <v>35</v>
      </c>
      <c r="H23" s="10" t="s">
        <v>9</v>
      </c>
      <c r="I23" s="10" t="s">
        <v>43</v>
      </c>
      <c r="J23" s="11" t="s">
        <v>10</v>
      </c>
      <c r="K23" s="11" t="s">
        <v>11</v>
      </c>
      <c r="L23" s="11" t="s">
        <v>12</v>
      </c>
      <c r="M23" s="11" t="s">
        <v>13</v>
      </c>
      <c r="N23" s="11" t="s">
        <v>14</v>
      </c>
      <c r="O23" s="10" t="s">
        <v>15</v>
      </c>
      <c r="P23" s="10" t="s">
        <v>16</v>
      </c>
      <c r="Q23" s="10" t="s">
        <v>17</v>
      </c>
      <c r="R23" s="10" t="s">
        <v>18</v>
      </c>
    </row>
    <row r="24" spans="1:18" ht="16.2" thickBot="1" x14ac:dyDescent="0.35">
      <c r="A24" s="41">
        <v>3</v>
      </c>
      <c r="B24" s="44" t="s">
        <v>42</v>
      </c>
      <c r="C24" s="47" t="s">
        <v>36</v>
      </c>
      <c r="D24" s="14">
        <v>46027</v>
      </c>
      <c r="E24" s="12" t="s">
        <v>19</v>
      </c>
      <c r="F24" s="15"/>
      <c r="G24" s="15"/>
      <c r="H24" s="29">
        <v>46013</v>
      </c>
      <c r="I24" s="24" t="s">
        <v>15</v>
      </c>
      <c r="J24" s="24" t="s">
        <v>15</v>
      </c>
      <c r="K24" s="49" t="s">
        <v>17</v>
      </c>
      <c r="L24" s="24" t="s">
        <v>16</v>
      </c>
      <c r="M24" s="23" t="s">
        <v>18</v>
      </c>
      <c r="N24" s="24" t="s">
        <v>16</v>
      </c>
      <c r="O24" s="23">
        <f>COUNTIF(J24:N24, "На согласовании у коммерческого директора")</f>
        <v>1</v>
      </c>
      <c r="P24" s="23">
        <f>COUNTIF(J24:N24, "Принято коммерческим директором")</f>
        <v>2</v>
      </c>
      <c r="Q24" s="23">
        <f>COUNTIF(J24:N24, "Не заполнено/Ожидание корректировки от КМ")</f>
        <v>1</v>
      </c>
      <c r="R24" s="23">
        <f>COUNTIF(J24:N24, "Не участвует")</f>
        <v>1</v>
      </c>
    </row>
    <row r="25" spans="1:18" ht="15.6" thickBot="1" x14ac:dyDescent="0.3">
      <c r="A25" s="42"/>
      <c r="B25" s="45"/>
      <c r="C25" s="48"/>
      <c r="D25" s="16">
        <v>46028</v>
      </c>
      <c r="E25" s="12" t="s">
        <v>22</v>
      </c>
      <c r="F25" s="15"/>
      <c r="G25" s="15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</row>
    <row r="26" spans="1:18" ht="15.6" thickBot="1" x14ac:dyDescent="0.3">
      <c r="A26" s="42"/>
      <c r="B26" s="45"/>
      <c r="C26" s="48"/>
      <c r="D26" s="16">
        <v>46029</v>
      </c>
      <c r="E26" s="12" t="s">
        <v>24</v>
      </c>
      <c r="F26" s="15"/>
      <c r="G26" s="15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</row>
    <row r="27" spans="1:18" ht="15.6" thickBot="1" x14ac:dyDescent="0.3">
      <c r="A27" s="42"/>
      <c r="B27" s="45"/>
      <c r="C27" s="48"/>
      <c r="D27" s="16">
        <v>46030</v>
      </c>
      <c r="E27" s="12" t="s">
        <v>26</v>
      </c>
      <c r="F27" s="15"/>
      <c r="G27" s="15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</row>
    <row r="28" spans="1:18" ht="15.6" thickBot="1" x14ac:dyDescent="0.3">
      <c r="A28" s="42"/>
      <c r="B28" s="45"/>
      <c r="C28" s="48"/>
      <c r="D28" s="16">
        <v>46031</v>
      </c>
      <c r="E28" s="12" t="s">
        <v>28</v>
      </c>
      <c r="F28" s="15"/>
      <c r="G28" s="15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</row>
    <row r="29" spans="1:18" ht="15.6" thickBot="1" x14ac:dyDescent="0.3">
      <c r="A29" s="42"/>
      <c r="B29" s="45"/>
      <c r="C29" s="48"/>
      <c r="D29" s="16">
        <v>46032</v>
      </c>
      <c r="E29" s="12" t="s">
        <v>29</v>
      </c>
      <c r="F29" s="15"/>
      <c r="G29" s="15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</row>
    <row r="30" spans="1:18" ht="16.2" thickBot="1" x14ac:dyDescent="0.35">
      <c r="A30" s="43"/>
      <c r="B30" s="46"/>
      <c r="C30" s="48"/>
      <c r="D30" s="14">
        <v>46033</v>
      </c>
      <c r="E30" s="12" t="s">
        <v>30</v>
      </c>
      <c r="F30" s="15"/>
      <c r="G30" s="15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</row>
    <row r="31" spans="1:18" ht="15.6" thickTop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1:1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spans="1:18" ht="15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 spans="1:18" ht="15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1:18" ht="15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1:18" ht="15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1:18" ht="15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1:18" ht="15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spans="1:18" ht="15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1:18" ht="15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 spans="1:18" ht="15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 spans="1:18" ht="15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 spans="1:18" ht="15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 spans="1:18" ht="15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1:18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spans="1:18" ht="15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spans="1:18" ht="15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spans="1:18" ht="15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1:18" ht="15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1:18" ht="15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1:18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spans="1:18" ht="15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spans="1:18" ht="15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spans="1:18" ht="15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spans="1:18" ht="15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spans="1:18" ht="15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spans="1:18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spans="1:18" ht="15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spans="1:18" ht="15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spans="1:18" ht="15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spans="1:18" ht="15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spans="1:18" ht="15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spans="1:18" ht="15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spans="1:18" ht="15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spans="1:18" ht="15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spans="1:18" ht="15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spans="1:18" ht="15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</row>
    <row r="68" spans="1:18" ht="15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spans="1:18" ht="15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</row>
    <row r="70" spans="1:18" ht="15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spans="1:18" ht="15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spans="1:18" ht="15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spans="1:18" ht="15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spans="1:18" ht="15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spans="1:18" ht="15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spans="1:18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spans="1:18" ht="15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spans="1:18" ht="15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</row>
    <row r="79" spans="1:18" ht="15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 spans="1:18" ht="15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</row>
    <row r="81" spans="1:18" ht="15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</row>
    <row r="82" spans="1:18" ht="15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</row>
    <row r="83" spans="1:18" ht="15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</row>
    <row r="84" spans="1:18" ht="15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 spans="1:18" ht="15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</row>
    <row r="86" spans="1:18" ht="15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</row>
    <row r="87" spans="1:18" ht="15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</row>
    <row r="88" spans="1:18" ht="15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</row>
    <row r="89" spans="1:18" ht="15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 spans="1:18" ht="15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</row>
    <row r="91" spans="1:18" ht="15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</row>
    <row r="92" spans="1:18" ht="15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spans="1:18" ht="15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</row>
    <row r="94" spans="1:18" ht="15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spans="1:18" ht="15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spans="1:18" ht="15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spans="1:18" ht="15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 spans="1:18" ht="15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spans="1:18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spans="1:18" ht="15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1" spans="1:18" ht="15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</row>
    <row r="102" spans="1:18" ht="15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</row>
    <row r="103" spans="1:18" ht="15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spans="1:18" ht="15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</row>
    <row r="105" spans="1:18" ht="15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</row>
    <row r="106" spans="1:18" ht="15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spans="1:18" ht="15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spans="1:18" ht="15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spans="1:18" ht="15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</row>
    <row r="110" spans="1:18" ht="15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spans="1:18" ht="15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</row>
    <row r="112" spans="1:18" ht="15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spans="1:18" ht="15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spans="1:18" ht="15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spans="1:18" ht="15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16" spans="1:18" ht="15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spans="1:18" ht="15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</row>
    <row r="118" spans="1:18" ht="15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spans="1:18" ht="15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spans="1:18" ht="15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spans="1:18" ht="15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spans="1:18" ht="15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spans="1:18" ht="15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spans="1:18" ht="15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spans="1:18" ht="15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spans="1:18" ht="15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spans="1:18" ht="15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spans="1:18" ht="15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spans="1:18" ht="15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spans="1:18" ht="15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spans="1:18" ht="15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</row>
    <row r="132" spans="1:18" ht="15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</row>
    <row r="133" spans="1:18" ht="15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</row>
    <row r="134" spans="1:18" ht="15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</row>
    <row r="135" spans="1:18" ht="15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</row>
    <row r="136" spans="1:18" ht="15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</row>
    <row r="137" spans="1:18" ht="15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</row>
    <row r="138" spans="1:18" ht="15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</row>
    <row r="139" spans="1:18" ht="15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</row>
    <row r="140" spans="1:18" ht="15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</row>
    <row r="141" spans="1:18" ht="15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</row>
    <row r="142" spans="1:18" ht="15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</row>
    <row r="143" spans="1:18" ht="15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</row>
    <row r="144" spans="1:18" ht="15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spans="1:18" ht="15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</row>
    <row r="146" spans="1:18" ht="15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</row>
    <row r="147" spans="1:18" ht="15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</row>
    <row r="148" spans="1:18" ht="15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</row>
    <row r="149" spans="1:18" ht="15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</row>
    <row r="150" spans="1:18" ht="15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</row>
    <row r="151" spans="1:18" ht="15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spans="1:18" ht="15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</row>
    <row r="153" spans="1:18" ht="15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</row>
    <row r="154" spans="1:18" ht="15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</row>
    <row r="155" spans="1:18" ht="15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</row>
    <row r="156" spans="1:18" ht="15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</row>
    <row r="157" spans="1:18" ht="15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</row>
    <row r="158" spans="1:18" ht="15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</row>
    <row r="159" spans="1:18" ht="15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</row>
    <row r="160" spans="1:18" ht="15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</row>
    <row r="161" spans="1:18" ht="15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</row>
    <row r="162" spans="1:18" ht="15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</row>
    <row r="163" spans="1:18" ht="15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</row>
    <row r="164" spans="1:18" ht="15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</row>
    <row r="165" spans="1:18" ht="15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</row>
    <row r="166" spans="1:18" ht="15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</row>
    <row r="167" spans="1:18" ht="15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</row>
    <row r="168" spans="1:18" ht="15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</row>
    <row r="169" spans="1:18" ht="15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</row>
    <row r="170" spans="1:18" ht="15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</row>
    <row r="171" spans="1:18" ht="15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</row>
    <row r="172" spans="1:18" ht="15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</row>
    <row r="173" spans="1:18" ht="15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</row>
    <row r="174" spans="1:18" ht="15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</row>
    <row r="175" spans="1:18" ht="15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</row>
    <row r="176" spans="1:18" ht="15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</row>
    <row r="177" spans="1:18" ht="15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</row>
    <row r="178" spans="1:18" ht="15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</row>
    <row r="179" spans="1:18" ht="15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</row>
    <row r="180" spans="1:18" ht="15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</row>
    <row r="181" spans="1:18" ht="15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</row>
    <row r="182" spans="1:18" ht="15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</row>
    <row r="183" spans="1:18" ht="15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</row>
    <row r="184" spans="1:18" ht="15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</row>
    <row r="185" spans="1:18" ht="15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</row>
    <row r="186" spans="1:18" ht="15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</row>
    <row r="187" spans="1:18" ht="15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</row>
    <row r="188" spans="1:18" ht="15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</row>
    <row r="189" spans="1:18" ht="15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</row>
    <row r="190" spans="1:18" ht="15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</row>
    <row r="191" spans="1:18" ht="15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</row>
    <row r="192" spans="1:18" ht="15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</row>
    <row r="193" spans="1:18" ht="15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</row>
    <row r="194" spans="1:18" ht="15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</row>
    <row r="195" spans="1:18" ht="15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</row>
    <row r="196" spans="1:18" ht="15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</row>
    <row r="197" spans="1:18" ht="15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</row>
    <row r="198" spans="1:18" ht="15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</row>
    <row r="199" spans="1:18" ht="15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</row>
    <row r="200" spans="1:18" ht="15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</row>
    <row r="201" spans="1:18" ht="15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</row>
    <row r="202" spans="1:18" ht="15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</row>
    <row r="203" spans="1:18" ht="15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</row>
    <row r="204" spans="1:18" ht="15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</row>
    <row r="205" spans="1:18" ht="15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</row>
    <row r="206" spans="1:18" ht="15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</row>
    <row r="207" spans="1:18" ht="15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</row>
    <row r="208" spans="1:18" ht="15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</row>
    <row r="209" spans="1:18" ht="15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</row>
    <row r="210" spans="1:18" ht="15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</row>
    <row r="211" spans="1:18" ht="15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</row>
    <row r="212" spans="1:18" ht="15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</row>
    <row r="213" spans="1:18" ht="15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</row>
    <row r="214" spans="1:18" ht="15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</row>
    <row r="215" spans="1:18" ht="15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</row>
    <row r="216" spans="1:18" ht="15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</row>
    <row r="217" spans="1:18" ht="15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</row>
    <row r="218" spans="1:18" ht="15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</row>
    <row r="219" spans="1:18" ht="15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</row>
    <row r="220" spans="1:18" ht="15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</row>
    <row r="221" spans="1:18" ht="15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</row>
    <row r="222" spans="1:18" ht="15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</row>
    <row r="223" spans="1:18" ht="15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</row>
    <row r="224" spans="1:18" ht="15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</row>
    <row r="225" spans="1:18" ht="15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</row>
    <row r="226" spans="1:18" ht="15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</row>
    <row r="227" spans="1:18" ht="15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</row>
    <row r="228" spans="1:18" ht="15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</row>
    <row r="229" spans="1:18" ht="15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</row>
    <row r="230" spans="1:18" ht="15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</row>
    <row r="231" spans="1:18" ht="15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</row>
    <row r="232" spans="1:18" ht="15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</row>
    <row r="233" spans="1:18" ht="15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</row>
    <row r="234" spans="1:18" ht="15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</row>
    <row r="235" spans="1:18" ht="15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</row>
    <row r="236" spans="1:18" ht="15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</row>
    <row r="237" spans="1:18" ht="15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</row>
    <row r="238" spans="1:18" ht="15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</row>
    <row r="239" spans="1:18" ht="15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</row>
    <row r="240" spans="1:18" ht="15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</row>
    <row r="241" spans="1:18" ht="15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</row>
    <row r="242" spans="1:18" ht="15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</row>
    <row r="243" spans="1:18" ht="15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</row>
    <row r="244" spans="1:18" ht="15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</row>
    <row r="245" spans="1:18" ht="15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</row>
    <row r="246" spans="1:18" ht="15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</row>
    <row r="247" spans="1:18" ht="15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</row>
    <row r="248" spans="1:18" ht="15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</row>
    <row r="249" spans="1:18" ht="15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</row>
    <row r="250" spans="1:18" ht="15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</row>
    <row r="251" spans="1:18" ht="15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</row>
    <row r="252" spans="1:18" ht="15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</row>
    <row r="253" spans="1:18" ht="15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</row>
    <row r="254" spans="1:18" ht="15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</row>
    <row r="255" spans="1:18" ht="15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</row>
    <row r="256" spans="1:18" ht="15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</row>
    <row r="257" spans="1:18" ht="15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</row>
    <row r="258" spans="1:18" ht="15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</row>
    <row r="259" spans="1:18" ht="15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</row>
    <row r="260" spans="1:18" ht="15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</row>
    <row r="261" spans="1:18" ht="15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</row>
    <row r="262" spans="1:18" ht="15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</row>
    <row r="263" spans="1:18" ht="15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</row>
    <row r="264" spans="1:18" ht="15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</row>
    <row r="265" spans="1:18" ht="15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</row>
    <row r="266" spans="1:18" ht="15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</row>
    <row r="267" spans="1:18" ht="15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</row>
    <row r="268" spans="1:18" ht="15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</row>
    <row r="269" spans="1:18" ht="15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</row>
    <row r="270" spans="1:18" ht="15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</row>
    <row r="271" spans="1:18" ht="15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</row>
    <row r="272" spans="1:18" ht="15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</row>
    <row r="273" spans="1:18" ht="15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</row>
    <row r="274" spans="1:18" ht="15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</row>
    <row r="275" spans="1:18" ht="15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</row>
    <row r="276" spans="1:18" ht="15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</row>
    <row r="277" spans="1:18" ht="15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</row>
    <row r="278" spans="1:18" ht="15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</row>
    <row r="279" spans="1:18" ht="15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</row>
    <row r="280" spans="1:18" ht="15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</row>
    <row r="281" spans="1:18" ht="15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</row>
    <row r="282" spans="1:18" ht="15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</row>
    <row r="283" spans="1:18" ht="15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</row>
    <row r="284" spans="1:18" ht="15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</row>
    <row r="285" spans="1:18" ht="15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</row>
    <row r="286" spans="1:18" ht="15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</row>
    <row r="287" spans="1:18" ht="15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</row>
    <row r="288" spans="1:18" ht="15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</row>
    <row r="289" spans="1:18" ht="15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</row>
    <row r="290" spans="1:18" ht="15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</row>
    <row r="291" spans="1:18" ht="15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</row>
    <row r="292" spans="1:18" ht="15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</row>
    <row r="293" spans="1:18" ht="15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</row>
    <row r="294" spans="1:18" ht="15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</row>
    <row r="295" spans="1:18" ht="15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</row>
    <row r="296" spans="1:18" ht="15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</row>
    <row r="297" spans="1:18" ht="15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</row>
    <row r="298" spans="1:18" ht="15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</row>
    <row r="299" spans="1:18" ht="15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</row>
    <row r="300" spans="1:18" ht="15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</row>
    <row r="301" spans="1:18" ht="15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</row>
    <row r="302" spans="1:18" ht="15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</row>
    <row r="303" spans="1:18" ht="15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</row>
    <row r="304" spans="1:18" ht="15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</row>
    <row r="305" spans="1:18" ht="15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</row>
    <row r="306" spans="1:18" ht="15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</row>
    <row r="307" spans="1:18" ht="15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</row>
    <row r="308" spans="1:18" ht="15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</row>
    <row r="309" spans="1:18" ht="15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</row>
    <row r="310" spans="1:18" ht="15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</row>
    <row r="311" spans="1:18" ht="15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</row>
    <row r="312" spans="1:18" ht="15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</row>
    <row r="313" spans="1:18" ht="15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</row>
    <row r="314" spans="1:18" ht="15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</row>
    <row r="315" spans="1:18" ht="15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</row>
    <row r="316" spans="1:18" ht="15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</row>
    <row r="317" spans="1:18" ht="15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</row>
    <row r="318" spans="1:18" ht="15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</row>
    <row r="319" spans="1:18" ht="15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</row>
    <row r="320" spans="1:18" ht="15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</row>
    <row r="321" spans="1:18" ht="15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</row>
    <row r="322" spans="1:18" ht="15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</row>
    <row r="323" spans="1:18" ht="15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</row>
    <row r="324" spans="1:18" ht="15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</row>
    <row r="325" spans="1:18" ht="15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</row>
    <row r="326" spans="1:18" ht="15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</row>
    <row r="327" spans="1:18" ht="15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</row>
    <row r="328" spans="1:18" ht="15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</row>
    <row r="329" spans="1:18" ht="15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</row>
    <row r="330" spans="1:18" ht="15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</row>
    <row r="331" spans="1:18" ht="15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</row>
    <row r="332" spans="1:18" ht="15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</row>
    <row r="333" spans="1:18" ht="15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</row>
    <row r="334" spans="1:18" ht="15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</row>
    <row r="335" spans="1:18" ht="15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</row>
    <row r="336" spans="1:18" ht="15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</row>
    <row r="337" spans="1:18" ht="15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</row>
    <row r="338" spans="1:18" ht="15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</row>
    <row r="339" spans="1:18" ht="15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</row>
    <row r="340" spans="1:18" ht="15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</row>
    <row r="341" spans="1:18" ht="15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</row>
    <row r="342" spans="1:18" ht="15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</row>
    <row r="343" spans="1:18" ht="15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</row>
    <row r="344" spans="1:18" ht="15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</row>
    <row r="345" spans="1:18" ht="15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</row>
    <row r="346" spans="1:18" ht="15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</row>
    <row r="347" spans="1:18" ht="15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</row>
    <row r="348" spans="1:18" ht="15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</row>
    <row r="349" spans="1:18" ht="15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</row>
    <row r="350" spans="1:18" ht="15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</row>
    <row r="351" spans="1:18" ht="15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</row>
    <row r="352" spans="1:18" ht="15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</row>
    <row r="353" spans="1:18" ht="15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</row>
    <row r="354" spans="1:18" ht="15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</row>
    <row r="355" spans="1:18" ht="15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</row>
    <row r="356" spans="1:18" ht="15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</row>
    <row r="357" spans="1:18" ht="15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</row>
    <row r="358" spans="1:18" ht="15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</row>
    <row r="359" spans="1:18" ht="15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</row>
    <row r="360" spans="1:18" ht="15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</row>
    <row r="361" spans="1:18" ht="15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</row>
    <row r="362" spans="1:18" ht="15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</row>
    <row r="363" spans="1:18" ht="15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</row>
    <row r="364" spans="1:18" ht="15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</row>
    <row r="365" spans="1:18" ht="15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</row>
    <row r="366" spans="1:18" ht="15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</row>
    <row r="367" spans="1:18" ht="15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</row>
    <row r="368" spans="1:18" ht="15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</row>
    <row r="369" spans="1:18" ht="15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</row>
    <row r="370" spans="1:18" ht="15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</row>
    <row r="371" spans="1:18" ht="15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</row>
    <row r="372" spans="1:18" ht="15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</row>
    <row r="373" spans="1:18" ht="15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</row>
    <row r="374" spans="1:18" ht="15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</row>
    <row r="375" spans="1:18" ht="15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</row>
    <row r="376" spans="1:18" ht="15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</row>
    <row r="377" spans="1:18" ht="15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</row>
    <row r="378" spans="1:18" ht="15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</row>
    <row r="379" spans="1:18" ht="15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</row>
    <row r="380" spans="1:18" ht="15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</row>
    <row r="381" spans="1:18" ht="15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</row>
    <row r="382" spans="1:18" ht="15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</row>
    <row r="383" spans="1:18" ht="15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</row>
    <row r="384" spans="1:18" ht="15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</row>
    <row r="385" spans="1:18" ht="15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</row>
    <row r="386" spans="1:18" ht="15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</row>
    <row r="387" spans="1:18" ht="15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</row>
    <row r="388" spans="1:18" ht="15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</row>
    <row r="389" spans="1:18" ht="15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</row>
    <row r="390" spans="1:18" ht="15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</row>
    <row r="391" spans="1:18" ht="15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</row>
    <row r="392" spans="1:18" ht="15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</row>
    <row r="393" spans="1:18" ht="15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</row>
    <row r="394" spans="1:18" ht="15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</row>
    <row r="395" spans="1:18" ht="15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</row>
    <row r="396" spans="1:18" ht="15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</row>
    <row r="397" spans="1:18" ht="15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</row>
    <row r="398" spans="1:18" ht="15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</row>
    <row r="399" spans="1:18" ht="15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</row>
    <row r="400" spans="1:18" ht="15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</row>
    <row r="401" spans="1:18" ht="15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</row>
    <row r="402" spans="1:18" ht="15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</row>
    <row r="403" spans="1:18" ht="15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</row>
    <row r="404" spans="1:18" ht="15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</row>
    <row r="405" spans="1:18" ht="15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</row>
    <row r="406" spans="1:18" ht="15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</row>
    <row r="407" spans="1:18" ht="15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</row>
    <row r="408" spans="1:18" ht="15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</row>
    <row r="409" spans="1:18" ht="15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</row>
    <row r="410" spans="1:18" ht="15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</row>
    <row r="411" spans="1:18" ht="15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</row>
    <row r="412" spans="1:18" ht="15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</row>
    <row r="413" spans="1:18" ht="15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</row>
    <row r="414" spans="1:18" ht="15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</row>
    <row r="415" spans="1:18" ht="15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</row>
    <row r="416" spans="1:18" ht="15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</row>
    <row r="417" spans="1:18" ht="15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</row>
    <row r="418" spans="1:18" ht="15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</row>
    <row r="419" spans="1:18" ht="15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</row>
    <row r="420" spans="1:18" ht="15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</row>
    <row r="421" spans="1:18" ht="15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</row>
    <row r="422" spans="1:18" ht="15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</row>
    <row r="423" spans="1:18" ht="15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</row>
    <row r="424" spans="1:18" ht="15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</row>
    <row r="425" spans="1:18" ht="15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</row>
    <row r="426" spans="1:18" ht="15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</row>
    <row r="427" spans="1:18" ht="15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</row>
    <row r="428" spans="1:18" ht="15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</row>
    <row r="429" spans="1:18" ht="15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</row>
    <row r="430" spans="1:18" ht="15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</row>
    <row r="431" spans="1:18" ht="15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</row>
    <row r="432" spans="1:18" ht="15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</row>
    <row r="433" spans="1:18" ht="15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</row>
    <row r="434" spans="1:18" ht="15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</row>
    <row r="435" spans="1:18" ht="15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</row>
    <row r="436" spans="1:18" ht="15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</row>
    <row r="437" spans="1:18" ht="15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</row>
    <row r="438" spans="1:18" ht="15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</row>
    <row r="439" spans="1:18" ht="15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</row>
    <row r="440" spans="1:18" ht="15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</row>
    <row r="441" spans="1:18" ht="15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</row>
    <row r="442" spans="1:18" ht="15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</row>
    <row r="443" spans="1:18" ht="15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</row>
    <row r="444" spans="1:18" ht="15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</row>
    <row r="445" spans="1:18" ht="15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</row>
    <row r="446" spans="1:18" ht="15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</row>
    <row r="447" spans="1:18" ht="15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</row>
    <row r="448" spans="1:18" ht="15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</row>
    <row r="449" spans="1:18" ht="15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</row>
    <row r="450" spans="1:18" ht="15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</row>
    <row r="451" spans="1:18" ht="15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</row>
    <row r="452" spans="1:18" ht="15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</row>
    <row r="453" spans="1:18" ht="15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</row>
    <row r="454" spans="1:18" ht="15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</row>
    <row r="455" spans="1:18" ht="15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</row>
    <row r="456" spans="1:18" ht="15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</row>
    <row r="457" spans="1:18" ht="15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</row>
    <row r="458" spans="1:18" ht="15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</row>
    <row r="459" spans="1:18" ht="15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</row>
    <row r="460" spans="1:18" ht="15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</row>
    <row r="461" spans="1:18" ht="15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</row>
    <row r="462" spans="1:18" ht="15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</row>
    <row r="463" spans="1:18" ht="15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</row>
    <row r="464" spans="1:18" ht="15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</row>
    <row r="465" spans="1:18" ht="15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</row>
    <row r="466" spans="1:18" ht="15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</row>
    <row r="467" spans="1:18" ht="15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</row>
    <row r="468" spans="1:18" ht="15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</row>
    <row r="469" spans="1:18" ht="15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</row>
    <row r="470" spans="1:18" ht="15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</row>
    <row r="471" spans="1:18" ht="15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</row>
    <row r="472" spans="1:18" ht="15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</row>
    <row r="473" spans="1:18" ht="15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</row>
    <row r="474" spans="1:18" ht="15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</row>
    <row r="475" spans="1:18" ht="15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</row>
    <row r="476" spans="1:18" ht="15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</row>
    <row r="477" spans="1:18" ht="15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</row>
    <row r="478" spans="1:18" ht="15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</row>
    <row r="479" spans="1:18" ht="15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</row>
    <row r="480" spans="1:18" ht="15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</row>
    <row r="481" spans="1:18" ht="15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</row>
    <row r="482" spans="1:18" ht="15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</row>
    <row r="483" spans="1:18" ht="15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</row>
    <row r="484" spans="1:18" ht="15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</row>
    <row r="485" spans="1:18" ht="15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</row>
    <row r="486" spans="1:18" ht="15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</row>
    <row r="487" spans="1:18" ht="15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</row>
    <row r="488" spans="1:18" ht="15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</row>
    <row r="489" spans="1:18" ht="15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</row>
    <row r="490" spans="1:18" ht="15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</row>
    <row r="491" spans="1:18" ht="15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</row>
    <row r="492" spans="1:18" ht="15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</row>
    <row r="493" spans="1:18" ht="15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</row>
    <row r="494" spans="1:18" ht="15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</row>
    <row r="495" spans="1:18" ht="15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</row>
    <row r="496" spans="1:18" ht="15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</row>
    <row r="497" spans="1:18" ht="15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</row>
    <row r="498" spans="1:18" ht="15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</row>
    <row r="499" spans="1:18" ht="15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</row>
    <row r="500" spans="1:18" ht="15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</row>
    <row r="501" spans="1:18" ht="15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</row>
    <row r="502" spans="1:18" ht="15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</row>
    <row r="503" spans="1:18" ht="15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</row>
    <row r="504" spans="1:18" ht="15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</row>
    <row r="505" spans="1:18" ht="15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</row>
    <row r="506" spans="1:18" ht="15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</row>
    <row r="507" spans="1:18" ht="15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</row>
    <row r="508" spans="1:18" ht="15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</row>
    <row r="509" spans="1:18" ht="15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</row>
    <row r="510" spans="1:18" ht="15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</row>
    <row r="511" spans="1:18" ht="15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</row>
    <row r="512" spans="1:18" ht="15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</row>
    <row r="513" spans="1:18" ht="15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</row>
    <row r="514" spans="1:18" ht="15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</row>
    <row r="515" spans="1:18" ht="15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</row>
    <row r="516" spans="1:18" ht="15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</row>
    <row r="517" spans="1:18" ht="15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</row>
    <row r="518" spans="1:18" ht="15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</row>
    <row r="519" spans="1:18" ht="15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</row>
    <row r="520" spans="1:18" ht="15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</row>
    <row r="521" spans="1:18" ht="15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</row>
    <row r="522" spans="1:18" ht="15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</row>
    <row r="523" spans="1:18" ht="15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</row>
    <row r="524" spans="1:18" ht="15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</row>
    <row r="525" spans="1:18" ht="15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</row>
    <row r="526" spans="1:18" ht="15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</row>
    <row r="527" spans="1:18" ht="15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</row>
    <row r="528" spans="1:18" ht="15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</row>
    <row r="529" spans="1:18" ht="15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</row>
    <row r="530" spans="1:18" ht="15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</row>
    <row r="531" spans="1:18" ht="15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</row>
    <row r="532" spans="1:18" ht="15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</row>
    <row r="533" spans="1:18" ht="15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</row>
    <row r="534" spans="1:18" ht="15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</row>
    <row r="535" spans="1:18" ht="15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</row>
    <row r="536" spans="1:18" ht="15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</row>
    <row r="537" spans="1:18" ht="15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</row>
    <row r="538" spans="1:18" ht="15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</row>
    <row r="539" spans="1:18" ht="15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</row>
    <row r="540" spans="1:18" ht="15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</row>
    <row r="541" spans="1:18" ht="15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</row>
    <row r="542" spans="1:18" ht="15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</row>
    <row r="543" spans="1:18" ht="15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</row>
    <row r="544" spans="1:18" ht="15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</row>
    <row r="545" spans="1:18" ht="15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</row>
    <row r="546" spans="1:18" ht="15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</row>
    <row r="547" spans="1:18" ht="15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</row>
    <row r="548" spans="1:18" ht="15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</row>
    <row r="549" spans="1:18" ht="15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</row>
    <row r="550" spans="1:18" ht="15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</row>
    <row r="551" spans="1:18" ht="15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</row>
    <row r="552" spans="1:18" ht="15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</row>
    <row r="553" spans="1:18" ht="15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</row>
    <row r="554" spans="1:18" ht="15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</row>
    <row r="555" spans="1:18" ht="15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</row>
    <row r="556" spans="1:18" ht="15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</row>
    <row r="557" spans="1:18" ht="15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</row>
    <row r="558" spans="1:18" ht="15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</row>
    <row r="559" spans="1:18" ht="15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</row>
    <row r="560" spans="1:18" ht="15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</row>
    <row r="561" spans="1:18" ht="15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</row>
    <row r="562" spans="1:18" ht="15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</row>
    <row r="563" spans="1:18" ht="15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</row>
    <row r="564" spans="1:18" ht="15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</row>
    <row r="565" spans="1:18" ht="15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</row>
    <row r="566" spans="1:18" ht="15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</row>
    <row r="567" spans="1:18" ht="15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</row>
    <row r="568" spans="1:18" ht="15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</row>
    <row r="569" spans="1:18" ht="15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</row>
    <row r="570" spans="1:18" ht="15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</row>
    <row r="571" spans="1:18" ht="15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</row>
    <row r="572" spans="1:18" ht="15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</row>
    <row r="573" spans="1:18" ht="15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</row>
    <row r="574" spans="1:18" ht="15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</row>
    <row r="575" spans="1:18" ht="15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</row>
    <row r="576" spans="1:18" ht="15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</row>
    <row r="577" spans="1:18" ht="15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</row>
    <row r="578" spans="1:18" ht="15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</row>
    <row r="579" spans="1:18" ht="15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</row>
    <row r="580" spans="1:18" ht="15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</row>
    <row r="581" spans="1:18" ht="15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</row>
    <row r="582" spans="1:18" ht="15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</row>
    <row r="583" spans="1:18" ht="15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</row>
    <row r="584" spans="1:18" ht="15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</row>
    <row r="585" spans="1:18" ht="15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</row>
    <row r="586" spans="1:18" ht="15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</row>
    <row r="587" spans="1:18" ht="15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</row>
    <row r="588" spans="1:18" ht="15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</row>
    <row r="589" spans="1:18" ht="15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</row>
    <row r="590" spans="1:18" ht="15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</row>
    <row r="591" spans="1:18" ht="15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</row>
    <row r="592" spans="1:18" ht="15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</row>
    <row r="593" spans="1:18" ht="15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</row>
    <row r="594" spans="1:18" ht="15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</row>
    <row r="595" spans="1:18" ht="15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</row>
    <row r="596" spans="1:18" ht="15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</row>
    <row r="597" spans="1:18" ht="15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</row>
    <row r="598" spans="1:18" ht="15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</row>
    <row r="599" spans="1:18" ht="15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</row>
    <row r="600" spans="1:18" ht="15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</row>
    <row r="601" spans="1:18" ht="15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</row>
    <row r="602" spans="1:18" ht="15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</row>
    <row r="603" spans="1:18" ht="15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</row>
    <row r="604" spans="1:18" ht="15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</row>
    <row r="605" spans="1:18" ht="15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</row>
    <row r="606" spans="1:18" ht="15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</row>
    <row r="607" spans="1:18" ht="15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</row>
    <row r="608" spans="1:18" ht="15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</row>
    <row r="609" spans="1:18" ht="15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</row>
    <row r="610" spans="1:18" ht="15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</row>
    <row r="611" spans="1:18" ht="15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</row>
    <row r="612" spans="1:18" ht="15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</row>
    <row r="613" spans="1:18" ht="15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</row>
    <row r="614" spans="1:18" ht="15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</row>
    <row r="615" spans="1:18" ht="15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</row>
    <row r="616" spans="1:18" ht="15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</row>
    <row r="617" spans="1:18" ht="15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</row>
    <row r="618" spans="1:18" ht="15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</row>
    <row r="619" spans="1:18" ht="15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</row>
    <row r="620" spans="1:18" ht="15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</row>
    <row r="621" spans="1:18" ht="15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</row>
    <row r="622" spans="1:18" ht="15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</row>
    <row r="623" spans="1:18" ht="15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</row>
    <row r="624" spans="1:18" ht="15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</row>
    <row r="625" spans="1:18" ht="15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</row>
    <row r="626" spans="1:18" ht="15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</row>
    <row r="627" spans="1:18" ht="15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</row>
    <row r="628" spans="1:18" ht="15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</row>
    <row r="629" spans="1:18" ht="15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</row>
    <row r="630" spans="1:18" ht="15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</row>
    <row r="631" spans="1:18" ht="15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</row>
    <row r="632" spans="1:18" ht="15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</row>
    <row r="633" spans="1:18" ht="15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</row>
    <row r="634" spans="1:18" ht="15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</row>
    <row r="635" spans="1:18" ht="15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</row>
    <row r="636" spans="1:18" ht="15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</row>
    <row r="637" spans="1:18" ht="15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</row>
    <row r="638" spans="1:18" ht="15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</row>
    <row r="639" spans="1:18" ht="15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</row>
    <row r="640" spans="1:18" ht="15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</row>
    <row r="641" spans="1:18" ht="15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</row>
    <row r="642" spans="1:18" ht="15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</row>
    <row r="643" spans="1:18" ht="15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</row>
    <row r="644" spans="1:18" ht="15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</row>
    <row r="645" spans="1:18" ht="15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</row>
    <row r="646" spans="1:18" ht="15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</row>
    <row r="647" spans="1:18" ht="15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</row>
    <row r="648" spans="1:18" ht="15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</row>
    <row r="649" spans="1:18" ht="15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</row>
    <row r="650" spans="1:18" ht="15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</row>
    <row r="651" spans="1:18" ht="15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</row>
    <row r="652" spans="1:18" ht="15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</row>
    <row r="653" spans="1:18" ht="15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</row>
    <row r="654" spans="1:18" ht="15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</row>
    <row r="655" spans="1:18" ht="15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</row>
    <row r="656" spans="1:18" ht="15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</row>
    <row r="657" spans="1:18" ht="15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</row>
    <row r="658" spans="1:18" ht="15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</row>
    <row r="659" spans="1:18" ht="15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</row>
    <row r="660" spans="1:18" ht="15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</row>
    <row r="661" spans="1:18" ht="15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</row>
    <row r="662" spans="1:18" ht="15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</row>
    <row r="663" spans="1:18" ht="15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</row>
    <row r="664" spans="1:18" ht="15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</row>
    <row r="665" spans="1:18" ht="15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</row>
    <row r="666" spans="1:18" ht="15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</row>
    <row r="667" spans="1:18" ht="15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</row>
    <row r="668" spans="1:18" ht="15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</row>
    <row r="669" spans="1:18" ht="15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</row>
    <row r="670" spans="1:18" ht="15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</row>
    <row r="671" spans="1:18" ht="15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</row>
    <row r="672" spans="1:18" ht="15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</row>
    <row r="673" spans="1:18" ht="15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</row>
    <row r="674" spans="1:18" ht="15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</row>
    <row r="675" spans="1:18" ht="15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</row>
    <row r="676" spans="1:18" ht="15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</row>
    <row r="677" spans="1:18" ht="15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</row>
    <row r="678" spans="1:18" ht="15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</row>
    <row r="679" spans="1:18" ht="15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</row>
    <row r="680" spans="1:18" ht="15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</row>
    <row r="681" spans="1:18" ht="15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</row>
    <row r="682" spans="1:18" ht="15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</row>
    <row r="683" spans="1:18" ht="15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</row>
    <row r="684" spans="1:18" ht="15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</row>
    <row r="685" spans="1:18" ht="15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</row>
    <row r="686" spans="1:18" ht="15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</row>
    <row r="687" spans="1:18" ht="15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</row>
    <row r="688" spans="1:18" ht="15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</row>
    <row r="689" spans="1:18" ht="15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</row>
    <row r="690" spans="1:18" ht="15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</row>
    <row r="691" spans="1:18" ht="15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</row>
    <row r="692" spans="1:18" ht="15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</row>
    <row r="693" spans="1:18" ht="15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</row>
    <row r="694" spans="1:18" ht="15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</row>
    <row r="695" spans="1:18" ht="15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</row>
    <row r="696" spans="1:18" ht="15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</row>
    <row r="697" spans="1:18" ht="15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</row>
    <row r="698" spans="1:18" ht="15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</row>
    <row r="699" spans="1:18" ht="15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</row>
    <row r="700" spans="1:18" ht="15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</row>
    <row r="701" spans="1:18" ht="15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</row>
    <row r="702" spans="1:18" ht="15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</row>
    <row r="703" spans="1:18" ht="15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</row>
    <row r="704" spans="1:18" ht="15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</row>
    <row r="705" spans="1:18" ht="15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</row>
    <row r="706" spans="1:18" ht="15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</row>
    <row r="707" spans="1:18" ht="15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</row>
    <row r="708" spans="1:18" ht="15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</row>
    <row r="709" spans="1:18" ht="15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</row>
    <row r="710" spans="1:18" ht="15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</row>
    <row r="711" spans="1:18" ht="15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</row>
    <row r="712" spans="1:18" ht="15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</row>
    <row r="713" spans="1:18" ht="15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</row>
    <row r="714" spans="1:18" ht="15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</row>
    <row r="715" spans="1:18" ht="15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</row>
    <row r="716" spans="1:18" ht="15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</row>
    <row r="717" spans="1:18" ht="15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</row>
    <row r="718" spans="1:18" ht="15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</row>
    <row r="719" spans="1:18" ht="15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</row>
    <row r="720" spans="1:18" ht="15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</row>
    <row r="721" spans="1:18" ht="15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</row>
    <row r="722" spans="1:18" ht="15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</row>
    <row r="723" spans="1:18" ht="15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</row>
    <row r="724" spans="1:18" ht="15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</row>
    <row r="725" spans="1:18" ht="15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</row>
    <row r="726" spans="1:18" ht="15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</row>
    <row r="727" spans="1:18" ht="15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</row>
    <row r="728" spans="1:18" ht="15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</row>
    <row r="729" spans="1:18" ht="15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</row>
    <row r="730" spans="1:18" ht="15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</row>
    <row r="731" spans="1:18" ht="15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</row>
    <row r="732" spans="1:18" ht="15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</row>
    <row r="733" spans="1:18" ht="15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</row>
    <row r="734" spans="1:18" ht="15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</row>
    <row r="735" spans="1:18" ht="15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</row>
    <row r="736" spans="1:18" ht="15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</row>
    <row r="737" spans="1:18" ht="15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</row>
    <row r="738" spans="1:18" ht="15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</row>
    <row r="739" spans="1:18" ht="15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</row>
    <row r="740" spans="1:18" ht="15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</row>
    <row r="741" spans="1:18" ht="15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</row>
    <row r="742" spans="1:18" ht="15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</row>
    <row r="743" spans="1:18" ht="15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</row>
    <row r="744" spans="1:18" ht="15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</row>
    <row r="745" spans="1:18" ht="15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</row>
    <row r="746" spans="1:18" ht="15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</row>
    <row r="747" spans="1:18" ht="15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</row>
    <row r="748" spans="1:18" ht="15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</row>
    <row r="749" spans="1:18" ht="15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</row>
    <row r="750" spans="1:18" ht="15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</row>
    <row r="751" spans="1:18" ht="15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</row>
    <row r="752" spans="1:18" ht="15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</row>
    <row r="753" spans="1:18" ht="15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</row>
    <row r="754" spans="1:18" ht="15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</row>
    <row r="755" spans="1:18" ht="15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</row>
    <row r="756" spans="1:18" ht="15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</row>
    <row r="757" spans="1:18" ht="15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</row>
    <row r="758" spans="1:18" ht="15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</row>
    <row r="759" spans="1:18" ht="15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</row>
    <row r="760" spans="1:18" ht="15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</row>
    <row r="761" spans="1:18" ht="15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</row>
    <row r="762" spans="1:18" ht="15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</row>
    <row r="763" spans="1:18" ht="15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</row>
    <row r="764" spans="1:18" ht="15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</row>
    <row r="765" spans="1:18" ht="15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</row>
    <row r="766" spans="1:18" ht="15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</row>
    <row r="767" spans="1:18" ht="15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</row>
    <row r="768" spans="1:18" ht="15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</row>
    <row r="769" spans="1:18" ht="15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</row>
    <row r="770" spans="1:18" ht="15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</row>
    <row r="771" spans="1:18" ht="15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</row>
    <row r="772" spans="1:18" ht="15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</row>
    <row r="773" spans="1:18" ht="15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</row>
    <row r="774" spans="1:18" ht="15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</row>
    <row r="775" spans="1:18" ht="15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</row>
    <row r="776" spans="1:18" ht="15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</row>
    <row r="777" spans="1:18" ht="15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</row>
    <row r="778" spans="1:18" ht="15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</row>
    <row r="779" spans="1:18" ht="15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</row>
    <row r="780" spans="1:18" ht="15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</row>
    <row r="781" spans="1:18" ht="15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</row>
    <row r="782" spans="1:18" ht="15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</row>
    <row r="783" spans="1:18" ht="15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</row>
    <row r="784" spans="1:18" ht="15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</row>
    <row r="785" spans="1:18" ht="15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</row>
    <row r="786" spans="1:18" ht="15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</row>
    <row r="787" spans="1:18" ht="15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</row>
    <row r="788" spans="1:18" ht="15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</row>
    <row r="789" spans="1:18" ht="15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</row>
    <row r="790" spans="1:18" ht="15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</row>
    <row r="791" spans="1:18" ht="15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</row>
    <row r="792" spans="1:18" ht="15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</row>
    <row r="793" spans="1:18" ht="15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</row>
    <row r="794" spans="1:18" ht="15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</row>
    <row r="795" spans="1:18" ht="15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</row>
    <row r="796" spans="1:18" ht="15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</row>
    <row r="797" spans="1:18" ht="15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</row>
    <row r="798" spans="1:18" ht="15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</row>
    <row r="799" spans="1:18" ht="15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</row>
    <row r="800" spans="1:18" ht="15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</row>
    <row r="801" spans="1:18" ht="15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</row>
    <row r="802" spans="1:18" ht="15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</row>
    <row r="803" spans="1:18" ht="15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</row>
    <row r="804" spans="1:18" ht="15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</row>
    <row r="805" spans="1:18" ht="15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</row>
    <row r="806" spans="1:18" ht="15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</row>
    <row r="807" spans="1:18" ht="15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</row>
    <row r="808" spans="1:18" ht="15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</row>
    <row r="809" spans="1:18" ht="15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</row>
    <row r="810" spans="1:18" ht="15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</row>
    <row r="811" spans="1:18" ht="15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</row>
    <row r="812" spans="1:18" ht="15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</row>
    <row r="813" spans="1:18" ht="15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</row>
    <row r="814" spans="1:18" ht="15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</row>
    <row r="815" spans="1:18" ht="15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</row>
    <row r="816" spans="1:18" ht="15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</row>
    <row r="817" spans="1:18" ht="15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</row>
    <row r="818" spans="1:18" ht="15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</row>
    <row r="819" spans="1:18" ht="15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</row>
    <row r="820" spans="1:18" ht="15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</row>
    <row r="821" spans="1:18" ht="15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</row>
    <row r="822" spans="1:18" ht="15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</row>
    <row r="823" spans="1:18" ht="15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</row>
    <row r="824" spans="1:18" ht="15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</row>
    <row r="825" spans="1:18" ht="15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</row>
    <row r="826" spans="1:18" ht="15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</row>
    <row r="827" spans="1:18" ht="15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</row>
    <row r="828" spans="1:18" ht="15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</row>
    <row r="829" spans="1:18" ht="15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</row>
    <row r="830" spans="1:18" ht="15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</row>
    <row r="831" spans="1:18" ht="15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</row>
    <row r="832" spans="1:18" ht="15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</row>
    <row r="833" spans="1:18" ht="15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</row>
    <row r="834" spans="1:18" ht="15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</row>
    <row r="835" spans="1:18" ht="15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</row>
    <row r="836" spans="1:18" ht="15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</row>
    <row r="837" spans="1:18" ht="15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</row>
    <row r="838" spans="1:18" ht="15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</row>
    <row r="839" spans="1:18" ht="15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</row>
    <row r="840" spans="1:18" ht="15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</row>
    <row r="841" spans="1:18" ht="15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</row>
    <row r="842" spans="1:18" ht="15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</row>
    <row r="843" spans="1:18" ht="15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</row>
    <row r="844" spans="1:18" ht="15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</row>
    <row r="845" spans="1:18" ht="15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</row>
    <row r="846" spans="1:18" ht="15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</row>
    <row r="847" spans="1:18" ht="15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</row>
    <row r="848" spans="1:18" ht="15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</row>
    <row r="849" spans="1:18" ht="15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</row>
    <row r="850" spans="1:18" ht="15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</row>
    <row r="851" spans="1:18" ht="15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</row>
    <row r="852" spans="1:18" ht="15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</row>
    <row r="853" spans="1:18" ht="15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</row>
    <row r="854" spans="1:18" ht="15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</row>
    <row r="855" spans="1:18" ht="15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</row>
    <row r="856" spans="1:18" ht="15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</row>
    <row r="857" spans="1:18" ht="15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</row>
    <row r="858" spans="1:18" ht="15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</row>
    <row r="859" spans="1:18" ht="15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</row>
    <row r="860" spans="1:18" ht="15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</row>
    <row r="861" spans="1:18" ht="15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</row>
    <row r="862" spans="1:18" ht="15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</row>
    <row r="863" spans="1:18" ht="15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</row>
    <row r="864" spans="1:18" ht="15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</row>
    <row r="865" spans="1:18" ht="15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</row>
    <row r="866" spans="1:18" ht="15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</row>
    <row r="867" spans="1:18" ht="15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</row>
    <row r="868" spans="1:18" ht="15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</row>
    <row r="869" spans="1:18" ht="15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</row>
    <row r="870" spans="1:18" ht="15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</row>
    <row r="871" spans="1:18" ht="15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</row>
    <row r="872" spans="1:18" ht="15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</row>
    <row r="873" spans="1:18" ht="15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</row>
    <row r="874" spans="1:18" ht="15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</row>
    <row r="875" spans="1:18" ht="15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</row>
    <row r="876" spans="1:18" ht="15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</row>
    <row r="877" spans="1:18" ht="15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</row>
    <row r="878" spans="1:18" ht="15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</row>
    <row r="879" spans="1:18" ht="15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</row>
    <row r="880" spans="1:18" ht="15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</row>
    <row r="881" spans="1:18" ht="15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</row>
    <row r="882" spans="1:18" ht="15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</row>
    <row r="883" spans="1:18" ht="15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</row>
    <row r="884" spans="1:18" ht="15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</row>
    <row r="885" spans="1:18" ht="15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</row>
    <row r="886" spans="1:18" ht="15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</row>
    <row r="887" spans="1:18" ht="15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</row>
    <row r="888" spans="1:18" ht="15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</row>
    <row r="889" spans="1:18" ht="15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</row>
    <row r="890" spans="1:18" ht="15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</row>
    <row r="891" spans="1:18" ht="15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</row>
    <row r="892" spans="1:18" ht="15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</row>
    <row r="893" spans="1:18" ht="15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</row>
    <row r="894" spans="1:18" ht="15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</row>
    <row r="895" spans="1:18" ht="15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</row>
    <row r="896" spans="1:18" ht="15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</row>
    <row r="897" spans="1:18" ht="15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</row>
    <row r="898" spans="1:18" ht="15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</row>
    <row r="899" spans="1:18" ht="15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</row>
    <row r="900" spans="1:18" ht="15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</row>
    <row r="901" spans="1:18" ht="15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</row>
    <row r="902" spans="1:18" ht="15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</row>
    <row r="903" spans="1:18" ht="15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</row>
    <row r="904" spans="1:18" ht="15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</row>
    <row r="905" spans="1:18" ht="15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</row>
    <row r="906" spans="1:18" ht="15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</row>
    <row r="907" spans="1:18" ht="15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</row>
    <row r="908" spans="1:18" ht="15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</row>
    <row r="909" spans="1:18" ht="15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</row>
    <row r="910" spans="1:18" ht="15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</row>
    <row r="911" spans="1:18" ht="15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</row>
    <row r="912" spans="1:18" ht="15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</row>
    <row r="913" spans="1:18" ht="15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</row>
    <row r="914" spans="1:18" ht="15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</row>
    <row r="915" spans="1:18" ht="15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</row>
    <row r="916" spans="1:18" ht="15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</row>
    <row r="917" spans="1:18" ht="15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</row>
    <row r="918" spans="1:18" ht="15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</row>
    <row r="919" spans="1:18" ht="15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</row>
    <row r="920" spans="1:18" ht="15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</row>
    <row r="921" spans="1:18" ht="15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</row>
    <row r="922" spans="1:18" ht="15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</row>
    <row r="923" spans="1:18" ht="15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</row>
    <row r="924" spans="1:18" ht="15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</row>
    <row r="925" spans="1:18" ht="15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</row>
    <row r="926" spans="1:18" ht="15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</row>
    <row r="927" spans="1:18" ht="15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</row>
    <row r="928" spans="1:18" ht="15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</row>
    <row r="929" spans="1:18" ht="15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</row>
    <row r="930" spans="1:18" ht="15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</row>
    <row r="931" spans="1:18" ht="15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</row>
    <row r="932" spans="1:18" ht="15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</row>
    <row r="933" spans="1:18" ht="15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</row>
    <row r="934" spans="1:18" ht="15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</row>
    <row r="935" spans="1:18" ht="15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</row>
    <row r="936" spans="1:18" ht="15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</row>
    <row r="937" spans="1:18" ht="15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</row>
    <row r="938" spans="1:18" ht="15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</row>
    <row r="939" spans="1:18" ht="15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</row>
    <row r="940" spans="1:18" ht="15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</row>
    <row r="941" spans="1:18" ht="15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</row>
    <row r="942" spans="1:18" ht="15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</row>
    <row r="943" spans="1:18" ht="15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</row>
    <row r="944" spans="1:18" ht="15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</row>
    <row r="945" spans="1:18" ht="15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</row>
    <row r="946" spans="1:18" ht="15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</row>
    <row r="947" spans="1:18" ht="15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</row>
    <row r="948" spans="1:18" ht="15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</row>
    <row r="949" spans="1:18" ht="15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</row>
    <row r="950" spans="1:18" ht="15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</row>
    <row r="951" spans="1:18" ht="15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</row>
    <row r="952" spans="1:18" ht="15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</row>
    <row r="953" spans="1:18" ht="15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</row>
    <row r="954" spans="1:18" ht="15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</row>
    <row r="955" spans="1:18" ht="15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</row>
    <row r="956" spans="1:18" ht="15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</row>
    <row r="957" spans="1:18" ht="15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</row>
    <row r="958" spans="1:18" ht="15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</row>
    <row r="959" spans="1:18" ht="15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</row>
    <row r="960" spans="1:18" ht="15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</row>
    <row r="961" spans="1:18" ht="15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</row>
    <row r="962" spans="1:18" ht="15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</row>
    <row r="963" spans="1:18" ht="15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</row>
    <row r="964" spans="1:18" ht="15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</row>
    <row r="965" spans="1:18" ht="15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</row>
    <row r="966" spans="1:18" ht="15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</row>
    <row r="967" spans="1:18" ht="15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</row>
    <row r="968" spans="1:18" ht="15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</row>
    <row r="969" spans="1:18" ht="15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</row>
    <row r="970" spans="1:18" ht="15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</row>
    <row r="971" spans="1:18" ht="15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</row>
    <row r="972" spans="1:18" ht="15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</row>
    <row r="973" spans="1:18" ht="15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</row>
    <row r="974" spans="1:18" ht="15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</row>
    <row r="975" spans="1:18" ht="15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</row>
    <row r="976" spans="1:18" ht="15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</row>
    <row r="977" spans="1:18" ht="15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</row>
    <row r="978" spans="1:18" ht="15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</row>
    <row r="979" spans="1:18" ht="15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</row>
    <row r="980" spans="1:18" ht="15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</row>
    <row r="981" spans="1:18" ht="15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</row>
    <row r="982" spans="1:18" ht="15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</row>
    <row r="983" spans="1:18" ht="15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</row>
    <row r="984" spans="1:18" ht="15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</row>
    <row r="985" spans="1:18" ht="15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</row>
    <row r="986" spans="1:18" ht="15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</row>
    <row r="987" spans="1:18" ht="15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</row>
    <row r="988" spans="1:18" ht="15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</row>
    <row r="989" spans="1:18" ht="15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</row>
    <row r="990" spans="1:18" ht="15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</row>
    <row r="991" spans="1:18" ht="15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</row>
    <row r="992" spans="1:18" ht="15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</row>
    <row r="993" spans="1:18" ht="15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</row>
    <row r="994" spans="1:18" ht="15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</row>
    <row r="995" spans="1:18" ht="15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</row>
    <row r="996" spans="1:18" ht="15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</row>
    <row r="997" spans="1:18" ht="15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</row>
    <row r="998" spans="1:18" ht="15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</row>
    <row r="999" spans="1:18" ht="15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</row>
    <row r="1000" spans="1:18" ht="15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</row>
    <row r="1001" spans="1:18" ht="15" x14ac:dyDescent="0.25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</row>
    <row r="1002" spans="1:18" ht="15" x14ac:dyDescent="0.25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</row>
    <row r="1003" spans="1:18" ht="15" x14ac:dyDescent="0.25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</row>
    <row r="1004" spans="1:18" ht="15" x14ac:dyDescent="0.25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</row>
    <row r="1005" spans="1:18" ht="15" x14ac:dyDescent="0.2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</row>
    <row r="1006" spans="1:18" ht="15" x14ac:dyDescent="0.25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</row>
    <row r="1007" spans="1:18" ht="15" x14ac:dyDescent="0.25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</row>
  </sheetData>
  <autoFilter ref="A4:R30" xr:uid="{00000000-0009-0000-0000-000000000000}"/>
  <mergeCells count="60">
    <mergeCell ref="Q12:Q18"/>
    <mergeCell ref="R12:R18"/>
    <mergeCell ref="A5:A11"/>
    <mergeCell ref="A12:A18"/>
    <mergeCell ref="B12:B18"/>
    <mergeCell ref="N5:N11"/>
    <mergeCell ref="O5:O11"/>
    <mergeCell ref="N12:N18"/>
    <mergeCell ref="O12:O18"/>
    <mergeCell ref="P5:P11"/>
    <mergeCell ref="H12:H18"/>
    <mergeCell ref="I12:I18"/>
    <mergeCell ref="J12:J18"/>
    <mergeCell ref="K12:K18"/>
    <mergeCell ref="P12:P18"/>
    <mergeCell ref="C12:C18"/>
    <mergeCell ref="A24:A30"/>
    <mergeCell ref="B24:B30"/>
    <mergeCell ref="C24:C30"/>
    <mergeCell ref="M24:M30"/>
    <mergeCell ref="H24:H30"/>
    <mergeCell ref="I24:I30"/>
    <mergeCell ref="J24:J30"/>
    <mergeCell ref="K24:K30"/>
    <mergeCell ref="L24:L30"/>
    <mergeCell ref="A1:R1"/>
    <mergeCell ref="A2:R2"/>
    <mergeCell ref="O3:R3"/>
    <mergeCell ref="B5:B11"/>
    <mergeCell ref="H5:H11"/>
    <mergeCell ref="I5:I11"/>
    <mergeCell ref="R5:R11"/>
    <mergeCell ref="Q5:Q11"/>
    <mergeCell ref="L5:L11"/>
    <mergeCell ref="M5:M11"/>
    <mergeCell ref="C5:C11"/>
    <mergeCell ref="J5:J11"/>
    <mergeCell ref="K5:K11"/>
    <mergeCell ref="K19:K21"/>
    <mergeCell ref="C19:C21"/>
    <mergeCell ref="M19:M21"/>
    <mergeCell ref="I19:I21"/>
    <mergeCell ref="J19:J21"/>
    <mergeCell ref="L19:L21"/>
    <mergeCell ref="L12:L18"/>
    <mergeCell ref="M12:M18"/>
    <mergeCell ref="Q19:Q21"/>
    <mergeCell ref="R19:R21"/>
    <mergeCell ref="N24:N30"/>
    <mergeCell ref="O24:O30"/>
    <mergeCell ref="P24:P30"/>
    <mergeCell ref="Q24:Q30"/>
    <mergeCell ref="R24:R30"/>
    <mergeCell ref="N19:N21"/>
    <mergeCell ref="O19:O21"/>
    <mergeCell ref="P19:P21"/>
    <mergeCell ref="A22:R22"/>
    <mergeCell ref="H19:H21"/>
    <mergeCell ref="A19:A21"/>
    <mergeCell ref="B19:B2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Вероника Миклухина Константиновна</cp:lastModifiedBy>
  <dcterms:modified xsi:type="dcterms:W3CDTF">2026-04-14T08:22:20Z</dcterms:modified>
</cp:coreProperties>
</file>